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270" windowWidth="4800" windowHeight="3375"/>
  </bookViews>
  <sheets>
    <sheet name="ServerSpec4Excel" sheetId="1" r:id="rId1"/>
    <sheet name="チェック項目リスト" sheetId="2" r:id="rId2"/>
    <sheet name="_spec.rb" sheetId="3" r:id="rId3"/>
    <sheet name="Settings" sheetId="4" r:id="rId4"/>
  </sheets>
  <functionGroups/>
  <definedNames>
    <definedName name="_xlnm.Print_Area" localSheetId="0">ServerSpec4Excel!$A$1:$I$42</definedName>
    <definedName name="Windowsレジストリーキーのチェック">チェック項目リスト!$B$3:$B$6</definedName>
    <definedName name="テスト対象">チェック項目リスト!$A$2:$C$2</definedName>
    <definedName name="ファイルやディレクトリ">チェック項目リスト!$C$3:$C$11</definedName>
    <definedName name="ホスト">チェック項目リスト!$A$3:$A$4</definedName>
    <definedName name="疎通">チェック項目リスト!$B$4</definedName>
    <definedName name="名前解決">チェック項目リスト!$B$3</definedName>
  </definedNames>
  <calcPr calcId="124519"/>
</workbook>
</file>

<file path=xl/calcChain.xml><?xml version="1.0" encoding="utf-8"?>
<calcChain xmlns="http://schemas.openxmlformats.org/spreadsheetml/2006/main">
  <c r="C16" i="3"/>
  <c r="C15"/>
  <c r="C14"/>
  <c r="C13"/>
  <c r="C12"/>
  <c r="C11"/>
  <c r="C10"/>
  <c r="C9"/>
  <c r="C8"/>
  <c r="C7"/>
  <c r="C6"/>
  <c r="C5"/>
  <c r="C4"/>
  <c r="C3"/>
  <c r="C2"/>
  <c r="A8"/>
  <c r="A4"/>
  <c r="A2"/>
</calcChain>
</file>

<file path=xl/sharedStrings.xml><?xml version="1.0" encoding="utf-8"?>
<sst xmlns="http://schemas.openxmlformats.org/spreadsheetml/2006/main" count="173" uniqueCount="124">
  <si>
    <t>連番</t>
    <rPh sb="0" eb="1">
      <t>レン</t>
    </rPh>
    <phoneticPr fontId="1"/>
  </si>
  <si>
    <t>テスト対象</t>
    <rPh sb="3" eb="5">
      <t>タイショウ</t>
    </rPh>
    <phoneticPr fontId="1"/>
  </si>
  <si>
    <t>ホスト</t>
  </si>
  <si>
    <t>ホスト</t>
    <phoneticPr fontId="1"/>
  </si>
  <si>
    <t>チェック項目リスト</t>
    <rPh sb="4" eb="6">
      <t>コウモク</t>
    </rPh>
    <phoneticPr fontId="1"/>
  </si>
  <si>
    <t>マシンチェックリスト</t>
    <phoneticPr fontId="1"/>
  </si>
  <si>
    <t>値1</t>
    <rPh sb="0" eb="1">
      <t>アタイ</t>
    </rPh>
    <phoneticPr fontId="1"/>
  </si>
  <si>
    <t>ファイルやディレクトリ</t>
    <phoneticPr fontId="1"/>
  </si>
  <si>
    <t>H01_名前解決（URL）</t>
    <rPh sb="4" eb="6">
      <t>ナマエ</t>
    </rPh>
    <rPh sb="6" eb="8">
      <t>カイケツ</t>
    </rPh>
    <phoneticPr fontId="1"/>
  </si>
  <si>
    <t>H02_疎通（URL)</t>
    <rPh sb="4" eb="6">
      <t>ソツウ</t>
    </rPh>
    <phoneticPr fontId="1"/>
  </si>
  <si>
    <t>R01_レジストリーキーが存在（レジストリキー）</t>
    <rPh sb="13" eb="15">
      <t>ソンザイ</t>
    </rPh>
    <phoneticPr fontId="1"/>
  </si>
  <si>
    <t>R02_レジストリーキーが持つプロパティ（レジストリキー,プロパティ）</t>
    <rPh sb="13" eb="14">
      <t>モ</t>
    </rPh>
    <phoneticPr fontId="1"/>
  </si>
  <si>
    <t>R03_レジストリーキーが持つ値</t>
    <rPh sb="13" eb="14">
      <t>モ</t>
    </rPh>
    <rPh sb="15" eb="16">
      <t>アタイ</t>
    </rPh>
    <phoneticPr fontId="1"/>
  </si>
  <si>
    <t>R04_レジストリーキーが持つ値とそのデータタイプ</t>
    <rPh sb="13" eb="14">
      <t>モ</t>
    </rPh>
    <rPh sb="15" eb="16">
      <t>アタイ</t>
    </rPh>
    <phoneticPr fontId="1"/>
  </si>
  <si>
    <t>F01_ファイルがあること（ファイルフルパス）</t>
    <phoneticPr fontId="1"/>
  </si>
  <si>
    <t>F02_ディレクトリがあること</t>
    <phoneticPr fontId="1"/>
  </si>
  <si>
    <t>F03_ソケットがあること</t>
    <phoneticPr fontId="1"/>
  </si>
  <si>
    <t>F04_ファイル内に文字列があること</t>
    <rPh sb="8" eb="9">
      <t>ナイ</t>
    </rPh>
    <rPh sb="10" eb="13">
      <t>モジレツ</t>
    </rPh>
    <phoneticPr fontId="1"/>
  </si>
  <si>
    <t>F05_ファイルのオーナーユーザ</t>
    <phoneticPr fontId="1"/>
  </si>
  <si>
    <t>F06_ファイルのオーナーグループ</t>
    <phoneticPr fontId="1"/>
  </si>
  <si>
    <t>F07_ファイルが読み取り可能</t>
    <rPh sb="9" eb="10">
      <t>ヨ</t>
    </rPh>
    <rPh sb="11" eb="12">
      <t>ト</t>
    </rPh>
    <rPh sb="13" eb="15">
      <t>カノウ</t>
    </rPh>
    <phoneticPr fontId="1"/>
  </si>
  <si>
    <t>F08_ファイルが書き込み可能</t>
    <rPh sb="9" eb="10">
      <t>カ</t>
    </rPh>
    <rPh sb="11" eb="12">
      <t>コ</t>
    </rPh>
    <phoneticPr fontId="1"/>
  </si>
  <si>
    <t>F09_ファイルが実行可能</t>
    <rPh sb="9" eb="11">
      <t>ジッコウ</t>
    </rPh>
    <phoneticPr fontId="1"/>
  </si>
  <si>
    <t>Windowsレジストリーキーのチェック</t>
  </si>
  <si>
    <t>localhost</t>
    <phoneticPr fontId="1"/>
  </si>
  <si>
    <t>localhost</t>
    <phoneticPr fontId="1"/>
  </si>
  <si>
    <t>ファイルやディレクトリ</t>
  </si>
  <si>
    <t>F01_ファイルがあること（ファイルフルパス）</t>
  </si>
  <si>
    <t>結果</t>
    <rPh sb="0" eb="2">
      <t>ケッカ</t>
    </rPh>
    <phoneticPr fontId="1"/>
  </si>
  <si>
    <t>テスト
実施</t>
    <rPh sb="4" eb="6">
      <t>ジッシ</t>
    </rPh>
    <phoneticPr fontId="1"/>
  </si>
  <si>
    <t>テスト項目数：</t>
    <rPh sb="3" eb="5">
      <t>コウモク</t>
    </rPh>
    <rPh sb="5" eb="6">
      <t>スウ</t>
    </rPh>
    <phoneticPr fontId="1"/>
  </si>
  <si>
    <t>成功項目数：</t>
    <rPh sb="0" eb="2">
      <t>セイコウ</t>
    </rPh>
    <rPh sb="2" eb="4">
      <t>コウモク</t>
    </rPh>
    <rPh sb="4" eb="5">
      <t>スウ</t>
    </rPh>
    <phoneticPr fontId="1"/>
  </si>
  <si>
    <t>失敗項目数：</t>
    <rPh sb="0" eb="2">
      <t>シッパイ</t>
    </rPh>
    <rPh sb="2" eb="4">
      <t>コウモク</t>
    </rPh>
    <rPh sb="4" eb="5">
      <t>スウ</t>
    </rPh>
    <phoneticPr fontId="1"/>
  </si>
  <si>
    <t>成功率：</t>
    <rPh sb="0" eb="3">
      <t>セイコウリツ</t>
    </rPh>
    <phoneticPr fontId="1"/>
  </si>
  <si>
    <t>H01</t>
    <phoneticPr fontId="1"/>
  </si>
  <si>
    <t>H02</t>
    <phoneticPr fontId="1"/>
  </si>
  <si>
    <t>R01</t>
    <phoneticPr fontId="1"/>
  </si>
  <si>
    <t>R02</t>
    <phoneticPr fontId="1"/>
  </si>
  <si>
    <t>R03</t>
  </si>
  <si>
    <t>R04</t>
  </si>
  <si>
    <t>F02</t>
  </si>
  <si>
    <t>F03</t>
  </si>
  <si>
    <t>F04</t>
  </si>
  <si>
    <t>F05</t>
  </si>
  <si>
    <t>F06</t>
  </si>
  <si>
    <t>F07</t>
  </si>
  <si>
    <t>F08</t>
  </si>
  <si>
    <t>F09</t>
  </si>
  <si>
    <t>分類</t>
    <rPh sb="0" eb="2">
      <t>ブンルイ</t>
    </rPh>
    <phoneticPr fontId="1"/>
  </si>
  <si>
    <t>Windowsレジストリーキー</t>
    <phoneticPr fontId="1"/>
  </si>
  <si>
    <t>説明</t>
    <rPh sb="0" eb="2">
      <t>セツメイ</t>
    </rPh>
    <phoneticPr fontId="1"/>
  </si>
  <si>
    <t>ID</t>
    <phoneticPr fontId="1"/>
  </si>
  <si>
    <t>コード</t>
    <phoneticPr fontId="1"/>
  </si>
  <si>
    <t>パラメータ数</t>
    <rPh sb="5" eb="6">
      <t>スウ</t>
    </rPh>
    <phoneticPr fontId="1"/>
  </si>
  <si>
    <t>C:\\Serverspec_spec\\spec\\spec_helper.rb</t>
    <phoneticPr fontId="1"/>
  </si>
  <si>
    <t>describe host('%1') do 
   it { should be_resolvable }
end</t>
    <phoneticPr fontId="1"/>
  </si>
  <si>
    <t>describe host('%1') do
   it { should be_reachable }
end</t>
    <phoneticPr fontId="1"/>
  </si>
  <si>
    <t>describe windows_registry_key('%1') do
   it { should exist }
end</t>
    <phoneticPr fontId="1"/>
  </si>
  <si>
    <t>describe windows_registry_key('%1') do
   it { should have_property('%2')}
end</t>
    <phoneticPr fontId="1"/>
  </si>
  <si>
    <t>HKEY</t>
    <phoneticPr fontId="1"/>
  </si>
  <si>
    <t>F01</t>
    <phoneticPr fontId="1"/>
  </si>
  <si>
    <t xml:space="preserve">describe file('%1') do
   it { should be_file }
end
         </t>
    <phoneticPr fontId="1"/>
  </si>
  <si>
    <t>T001</t>
    <phoneticPr fontId="1"/>
  </si>
  <si>
    <t>T002</t>
    <phoneticPr fontId="1"/>
  </si>
  <si>
    <t>T003</t>
    <phoneticPr fontId="1"/>
  </si>
  <si>
    <t>T004</t>
    <phoneticPr fontId="1"/>
  </si>
  <si>
    <t>値2</t>
    <phoneticPr fontId="1"/>
  </si>
  <si>
    <t>テスト詳細
テスト名（値1,値2,値3)</t>
    <rPh sb="3" eb="5">
      <t>ショウサイ</t>
    </rPh>
    <rPh sb="9" eb="10">
      <t>メイ</t>
    </rPh>
    <rPh sb="11" eb="12">
      <t>アタイ</t>
    </rPh>
    <rPh sb="14" eb="15">
      <t>アタイ</t>
    </rPh>
    <rPh sb="17" eb="18">
      <t>アタイ</t>
    </rPh>
    <phoneticPr fontId="1"/>
  </si>
  <si>
    <t>T005</t>
  </si>
  <si>
    <t>T006</t>
  </si>
  <si>
    <t>C:\\Serverspec_spec\\spec\\spec_helper.rb2</t>
    <phoneticPr fontId="1"/>
  </si>
  <si>
    <t>bbbbbb</t>
    <phoneticPr fontId="1"/>
  </si>
  <si>
    <t>C:\gomi</t>
    <phoneticPr fontId="1"/>
  </si>
  <si>
    <t>値3</t>
    <phoneticPr fontId="1"/>
  </si>
  <si>
    <t>値4</t>
    <phoneticPr fontId="1"/>
  </si>
  <si>
    <t>aaaa</t>
    <phoneticPr fontId="1"/>
  </si>
  <si>
    <t>ffffff</t>
    <phoneticPr fontId="1"/>
  </si>
  <si>
    <t>localhost</t>
    <phoneticPr fontId="1"/>
  </si>
  <si>
    <t>C:\wwww</t>
    <phoneticPr fontId="1"/>
  </si>
  <si>
    <t>C:\rrrrr</t>
    <phoneticPr fontId="1"/>
  </si>
  <si>
    <t>C:\tee.txt</t>
    <phoneticPr fontId="1"/>
  </si>
  <si>
    <t>www.google.com</t>
    <phoneticPr fontId="1"/>
  </si>
  <si>
    <t>Const COLUMN_TEST_DETAIL</t>
    <phoneticPr fontId="1"/>
  </si>
  <si>
    <t>EXECUTION_MODE</t>
    <phoneticPr fontId="1"/>
  </si>
  <si>
    <t>COLUMN_TESTCASE_NUMBER</t>
    <phoneticPr fontId="1"/>
  </si>
  <si>
    <t>COLUMN_TEST_TARGET</t>
    <phoneticPr fontId="1"/>
  </si>
  <si>
    <t>COLUMN_PARAM_1</t>
    <phoneticPr fontId="1"/>
  </si>
  <si>
    <t>COLUMN_PARAM_2</t>
    <phoneticPr fontId="1"/>
  </si>
  <si>
    <t>COLUMN_PARAM_3</t>
    <phoneticPr fontId="1"/>
  </si>
  <si>
    <t>COLUMN_PARAM_4</t>
    <phoneticPr fontId="1"/>
  </si>
  <si>
    <t>MAX_NUM_OF_PARAMS</t>
    <phoneticPr fontId="1"/>
  </si>
  <si>
    <t>COLUMN_TEST_RESULT</t>
    <phoneticPr fontId="1"/>
  </si>
  <si>
    <t>ROW_START_TABLE</t>
    <phoneticPr fontId="1"/>
  </si>
  <si>
    <t>COLUMN_TESTCADE_PARAMNUM</t>
    <phoneticPr fontId="1"/>
  </si>
  <si>
    <t>BOOL_LOGGENERATION</t>
    <phoneticPr fontId="1"/>
  </si>
  <si>
    <t>実行モード　0:Non Verbose 1:Vervose</t>
    <phoneticPr fontId="1"/>
  </si>
  <si>
    <t>Worksheet1のテストケース番号</t>
    <phoneticPr fontId="1"/>
  </si>
  <si>
    <t>Worksheet1のテスト対象列</t>
    <phoneticPr fontId="1"/>
  </si>
  <si>
    <t>Worksheet1のテスト詳細列</t>
    <phoneticPr fontId="1"/>
  </si>
  <si>
    <t>Worksheet1の値1列</t>
    <phoneticPr fontId="1"/>
  </si>
  <si>
    <t>Worksheet1の値2列</t>
    <phoneticPr fontId="1"/>
  </si>
  <si>
    <t>Worksheet1の値3列</t>
    <phoneticPr fontId="1"/>
  </si>
  <si>
    <t>Worksheet1の値4列</t>
    <phoneticPr fontId="1"/>
  </si>
  <si>
    <t>引数（値）の最大</t>
    <phoneticPr fontId="1"/>
  </si>
  <si>
    <t>Worksheet1の結果（TURE/FALSE列（非表示)）</t>
    <phoneticPr fontId="1"/>
  </si>
  <si>
    <t>Worksheet1のテスト一覧の開始行（表題含まず）</t>
    <phoneticPr fontId="1"/>
  </si>
  <si>
    <t>Worksheet3のパラメータ数例(ID列からのオフセット)</t>
    <phoneticPr fontId="1"/>
  </si>
  <si>
    <t>Worksheet3のコード列（ID列からのオフセット)</t>
    <phoneticPr fontId="1"/>
  </si>
  <si>
    <t>SPEC File出力先 (作業領域）</t>
    <phoneticPr fontId="1"/>
  </si>
  <si>
    <t>ログファイル出力先</t>
    <phoneticPr fontId="1"/>
  </si>
  <si>
    <t>パラメータ</t>
    <phoneticPr fontId="1"/>
  </si>
  <si>
    <t>値</t>
    <rPh sb="0" eb="1">
      <t>アタイ</t>
    </rPh>
    <phoneticPr fontId="1"/>
  </si>
  <si>
    <t>DIR_SPECFILE</t>
    <phoneticPr fontId="1"/>
  </si>
  <si>
    <t>COLUMN_TESTCODE</t>
    <phoneticPr fontId="1"/>
  </si>
  <si>
    <t>ServerSpec実行ログ生成するか否かの指定</t>
    <rPh sb="10" eb="12">
      <t>ジッコウ</t>
    </rPh>
    <rPh sb="14" eb="16">
      <t>セイセイ</t>
    </rPh>
    <rPh sb="19" eb="20">
      <t>イナ</t>
    </rPh>
    <rPh sb="22" eb="24">
      <t>シテイ</t>
    </rPh>
    <phoneticPr fontId="1"/>
  </si>
  <si>
    <t xml:space="preserve">DIR_LOGFILE </t>
    <phoneticPr fontId="1"/>
  </si>
  <si>
    <t xml:space="preserve">  NOTE: Don't add or delete rows</t>
    <phoneticPr fontId="1"/>
  </si>
  <si>
    <t>C:\Serverspec\spec\localhost</t>
    <phoneticPr fontId="1"/>
  </si>
  <si>
    <t>aaaa</t>
    <phoneticPr fontId="1"/>
  </si>
  <si>
    <t>テスト実施</t>
    <rPh sb="3" eb="5">
      <t>ジッシ</t>
    </rPh>
    <phoneticPr fontId="1"/>
  </si>
  <si>
    <t>Y</t>
  </si>
  <si>
    <t>Y</t>
    <phoneticPr fontId="1"/>
  </si>
  <si>
    <t>N</t>
    <phoneticPr fontId="1"/>
  </si>
  <si>
    <t>C:\Serverspec\spec\localhost\log</t>
    <phoneticPr fontId="1"/>
  </si>
</sst>
</file>

<file path=xl/styles.xml><?xml version="1.0" encoding="utf-8"?>
<styleSheet xmlns="http://schemas.openxmlformats.org/spreadsheetml/2006/main">
  <fonts count="1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3.5"/>
      <color theme="1"/>
      <name val="ＭＳ Ｐゴシック"/>
      <family val="3"/>
      <charset val="128"/>
      <scheme val="minor"/>
    </font>
    <font>
      <sz val="14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8"/>
      <color theme="1"/>
      <name val="Meiryo UI"/>
      <family val="3"/>
      <charset val="128"/>
    </font>
    <font>
      <sz val="11"/>
      <color theme="6" tint="0.79998168889431442"/>
      <name val="ＭＳ Ｐ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theme="1"/>
      <name val="ＭＳ Ｐゴシック"/>
      <family val="2"/>
      <charset val="128"/>
      <scheme val="minor"/>
    </font>
    <font>
      <u/>
      <sz val="6.6"/>
      <color theme="10"/>
      <name val="ＭＳ Ｐゴシック"/>
      <family val="3"/>
      <charset val="128"/>
    </font>
    <font>
      <sz val="10"/>
      <color theme="9" tint="-0.249977111117893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8" fillId="2" borderId="0" xfId="0" applyFont="1" applyFill="1">
      <alignment vertical="center"/>
    </xf>
    <xf numFmtId="0" fontId="2" fillId="2" borderId="0" xfId="0" applyFont="1" applyFill="1" applyAlignment="1">
      <alignment horizontal="right" vertical="center" wrapText="1"/>
    </xf>
    <xf numFmtId="0" fontId="2" fillId="2" borderId="0" xfId="0" applyFont="1" applyFill="1" applyAlignment="1">
      <alignment horizontal="right" vertical="center"/>
    </xf>
    <xf numFmtId="0" fontId="11" fillId="3" borderId="0" xfId="0" applyFont="1" applyFill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9" fillId="4" borderId="1" xfId="0" applyFont="1" applyFill="1" applyBorder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5" fillId="2" borderId="0" xfId="0" applyFont="1" applyFill="1" applyAlignment="1">
      <alignment horizontal="center" vertical="center"/>
    </xf>
    <xf numFmtId="0" fontId="13" fillId="0" borderId="0" xfId="1" applyFill="1" applyAlignment="1" applyProtection="1">
      <alignment vertical="center"/>
    </xf>
    <xf numFmtId="0" fontId="2" fillId="2" borderId="2" xfId="0" applyFont="1" applyFill="1" applyBorder="1" applyAlignment="1">
      <alignment horizontal="right" vertical="center" wrapText="1"/>
    </xf>
    <xf numFmtId="0" fontId="0" fillId="2" borderId="3" xfId="0" applyFill="1" applyBorder="1">
      <alignment vertical="center"/>
    </xf>
    <xf numFmtId="0" fontId="2" fillId="2" borderId="4" xfId="0" applyFont="1" applyFill="1" applyBorder="1" applyAlignment="1">
      <alignment horizontal="right" vertical="center" wrapText="1"/>
    </xf>
    <xf numFmtId="0" fontId="0" fillId="2" borderId="5" xfId="0" applyFill="1" applyBorder="1">
      <alignment vertical="center"/>
    </xf>
    <xf numFmtId="0" fontId="2" fillId="2" borderId="6" xfId="0" applyFont="1" applyFill="1" applyBorder="1" applyAlignment="1">
      <alignment horizontal="right"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1" fillId="0" borderId="1" xfId="0" quotePrefix="1" applyFont="1" applyBorder="1" applyAlignment="1">
      <alignment horizontal="left" vertical="center" wrapText="1"/>
    </xf>
    <xf numFmtId="0" fontId="11" fillId="2" borderId="1" xfId="0" applyFont="1" applyFill="1" applyBorder="1" applyAlignment="1">
      <alignment vertical="center" wrapText="1"/>
    </xf>
    <xf numFmtId="0" fontId="14" fillId="5" borderId="8" xfId="0" applyFont="1" applyFill="1" applyBorder="1" applyAlignment="1">
      <alignment vertical="center" wrapText="1"/>
    </xf>
    <xf numFmtId="0" fontId="0" fillId="0" borderId="0" xfId="0" applyFill="1" applyAlignment="1">
      <alignment horizontal="left" vertical="center"/>
    </xf>
    <xf numFmtId="0" fontId="10" fillId="6" borderId="0" xfId="0" applyFont="1" applyFill="1">
      <alignment vertical="center"/>
    </xf>
    <xf numFmtId="0" fontId="10" fillId="7" borderId="0" xfId="0" applyFont="1" applyFill="1">
      <alignment vertical="center"/>
    </xf>
    <xf numFmtId="0" fontId="11" fillId="0" borderId="0" xfId="0" applyFont="1" applyFill="1" applyBorder="1" applyAlignment="1">
      <alignment horizontal="left" vertical="center" wrapText="1"/>
    </xf>
    <xf numFmtId="0" fontId="2" fillId="6" borderId="0" xfId="0" applyFont="1" applyFill="1">
      <alignment vertical="center"/>
    </xf>
    <xf numFmtId="0" fontId="2" fillId="7" borderId="0" xfId="0" applyFont="1" applyFill="1">
      <alignment vertical="center"/>
    </xf>
    <xf numFmtId="0" fontId="5" fillId="2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scheme val="none"/>
      </font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</font>
      <alignment horizontal="center" vertical="center" textRotation="0" wrapText="0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638175</xdr:colOff>
      <xdr:row>18</xdr:row>
      <xdr:rowOff>123825</xdr:rowOff>
    </xdr:from>
    <xdr:ext cx="184731" cy="264560"/>
    <xdr:sp macro="" textlink="">
      <xdr:nvSpPr>
        <xdr:cNvPr id="3" name="テキスト ボックス 2" hidden="1"/>
        <xdr:cNvSpPr txBox="1"/>
      </xdr:nvSpPr>
      <xdr:spPr>
        <a:xfrm>
          <a:off x="1323975" y="2009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テーブル1" displayName="テーブル1" ref="A7:I35" totalsRowShown="0" headerRowDxfId="4">
  <autoFilter ref="A7:I35"/>
  <tableColumns count="9">
    <tableColumn id="1" name="連番" dataDxfId="3"/>
    <tableColumn id="2" name="テスト対象"/>
    <tableColumn id="4" name="テスト詳細&#10;テスト名（値1,値2,値3)"/>
    <tableColumn id="5" name="値1"/>
    <tableColumn id="8" name="値2" dataDxfId="2"/>
    <tableColumn id="9" name="値3" dataDxfId="1"/>
    <tableColumn id="7" name="値4" dataDxfId="0"/>
    <tableColumn id="3" name="テスト&#10;実施"/>
    <tableColumn id="6" name="結果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6"/>
  <sheetViews>
    <sheetView tabSelected="1" view="pageBreakPreview" zoomScale="61" zoomScaleNormal="64" zoomScaleSheetLayoutView="61" workbookViewId="0">
      <selection sqref="A1:E6"/>
    </sheetView>
  </sheetViews>
  <sheetFormatPr defaultRowHeight="13.5"/>
  <cols>
    <col min="2" max="2" width="31.25" customWidth="1"/>
    <col min="3" max="3" width="51.625" customWidth="1"/>
    <col min="4" max="4" width="26.75" customWidth="1"/>
    <col min="5" max="5" width="24" customWidth="1"/>
    <col min="6" max="6" width="13.625" customWidth="1"/>
    <col min="7" max="7" width="13" customWidth="1"/>
    <col min="8" max="8" width="8.25" customWidth="1"/>
    <col min="9" max="9" width="12.125" customWidth="1"/>
  </cols>
  <sheetData>
    <row r="1" spans="1:13" ht="17.25" customHeight="1">
      <c r="A1" s="44" t="s">
        <v>5</v>
      </c>
      <c r="B1" s="44"/>
      <c r="C1" s="44"/>
      <c r="D1" s="44"/>
      <c r="E1" s="44"/>
      <c r="F1" s="25"/>
      <c r="G1" s="14"/>
      <c r="H1" s="3"/>
      <c r="I1" s="3"/>
    </row>
    <row r="2" spans="1:13" ht="15.75" customHeight="1">
      <c r="A2" s="44"/>
      <c r="B2" s="44"/>
      <c r="C2" s="44"/>
      <c r="D2" s="44"/>
      <c r="E2" s="44"/>
      <c r="F2" s="25"/>
      <c r="G2" s="27" t="s">
        <v>30</v>
      </c>
      <c r="H2" s="28"/>
      <c r="I2" s="3"/>
    </row>
    <row r="3" spans="1:13" ht="15" customHeight="1">
      <c r="A3" s="44"/>
      <c r="B3" s="44"/>
      <c r="C3" s="44"/>
      <c r="D3" s="44"/>
      <c r="E3" s="44"/>
      <c r="F3" s="25"/>
      <c r="G3" s="29" t="s">
        <v>31</v>
      </c>
      <c r="H3" s="30"/>
      <c r="I3" s="3"/>
    </row>
    <row r="4" spans="1:13" ht="17.25" customHeight="1">
      <c r="A4" s="44"/>
      <c r="B4" s="44"/>
      <c r="C4" s="44"/>
      <c r="D4" s="44"/>
      <c r="E4" s="44"/>
      <c r="F4" s="25"/>
      <c r="G4" s="29" t="s">
        <v>32</v>
      </c>
      <c r="H4" s="30"/>
      <c r="I4" s="3"/>
    </row>
    <row r="5" spans="1:13" ht="12.75" customHeight="1">
      <c r="A5" s="44"/>
      <c r="B5" s="44"/>
      <c r="C5" s="44"/>
      <c r="D5" s="44"/>
      <c r="E5" s="44"/>
      <c r="F5" s="25"/>
      <c r="G5" s="31" t="s">
        <v>33</v>
      </c>
      <c r="H5" s="32"/>
      <c r="I5" s="3"/>
    </row>
    <row r="6" spans="1:13" ht="15" customHeight="1">
      <c r="A6" s="44"/>
      <c r="B6" s="44"/>
      <c r="C6" s="44"/>
      <c r="D6" s="44"/>
      <c r="E6" s="44"/>
      <c r="F6" s="25"/>
      <c r="G6" s="13"/>
      <c r="H6" s="3"/>
      <c r="I6" s="12"/>
    </row>
    <row r="7" spans="1:13" ht="66" customHeight="1">
      <c r="A7" s="8" t="s">
        <v>0</v>
      </c>
      <c r="B7" s="8" t="s">
        <v>1</v>
      </c>
      <c r="C7" s="9" t="s">
        <v>67</v>
      </c>
      <c r="D7" s="8" t="s">
        <v>6</v>
      </c>
      <c r="E7" s="8" t="s">
        <v>66</v>
      </c>
      <c r="F7" s="8" t="s">
        <v>73</v>
      </c>
      <c r="G7" s="8" t="s">
        <v>74</v>
      </c>
      <c r="H7" s="9" t="s">
        <v>29</v>
      </c>
      <c r="I7" s="8" t="s">
        <v>28</v>
      </c>
    </row>
    <row r="8" spans="1:13" ht="30" customHeight="1">
      <c r="A8" s="7" t="s">
        <v>62</v>
      </c>
      <c r="B8" s="1" t="s">
        <v>23</v>
      </c>
      <c r="C8" s="1" t="s">
        <v>11</v>
      </c>
      <c r="D8" s="10" t="s">
        <v>59</v>
      </c>
      <c r="E8" s="10" t="s">
        <v>118</v>
      </c>
      <c r="F8" s="10"/>
      <c r="G8" s="10"/>
      <c r="H8" s="11" t="s">
        <v>120</v>
      </c>
      <c r="I8" s="39" t="b">
        <v>0</v>
      </c>
    </row>
    <row r="9" spans="1:13" ht="30" customHeight="1">
      <c r="A9" s="7" t="s">
        <v>63</v>
      </c>
      <c r="B9" s="1" t="s">
        <v>2</v>
      </c>
      <c r="C9" s="1" t="s">
        <v>8</v>
      </c>
      <c r="D9" s="10" t="s">
        <v>24</v>
      </c>
      <c r="E9" s="10"/>
      <c r="F9" s="10"/>
      <c r="G9" s="1"/>
      <c r="H9" s="11" t="s">
        <v>120</v>
      </c>
      <c r="I9" s="40" t="b">
        <v>1</v>
      </c>
    </row>
    <row r="10" spans="1:13" ht="30" customHeight="1">
      <c r="A10" s="7" t="s">
        <v>64</v>
      </c>
      <c r="B10" s="1" t="s">
        <v>26</v>
      </c>
      <c r="C10" s="1" t="s">
        <v>27</v>
      </c>
      <c r="D10" s="10" t="s">
        <v>54</v>
      </c>
      <c r="E10" s="10"/>
      <c r="F10" s="10"/>
      <c r="G10" s="1"/>
      <c r="H10" s="11" t="s">
        <v>120</v>
      </c>
      <c r="I10" s="39" t="b">
        <v>0</v>
      </c>
    </row>
    <row r="11" spans="1:13" ht="30" customHeight="1">
      <c r="A11" s="7" t="s">
        <v>65</v>
      </c>
      <c r="B11" s="1" t="s">
        <v>2</v>
      </c>
      <c r="C11" s="1" t="s">
        <v>9</v>
      </c>
      <c r="D11" s="10" t="s">
        <v>25</v>
      </c>
      <c r="E11" s="10"/>
      <c r="F11" s="10"/>
      <c r="G11" s="1"/>
      <c r="H11" s="11" t="s">
        <v>120</v>
      </c>
      <c r="I11" s="40" t="b">
        <v>1</v>
      </c>
    </row>
    <row r="12" spans="1:13" ht="30" customHeight="1">
      <c r="A12" s="7" t="s">
        <v>68</v>
      </c>
      <c r="B12" s="1" t="s">
        <v>2</v>
      </c>
      <c r="C12" s="1" t="s">
        <v>8</v>
      </c>
      <c r="D12" s="10" t="s">
        <v>24</v>
      </c>
      <c r="E12" s="1"/>
      <c r="F12" s="1"/>
      <c r="G12" s="1"/>
      <c r="H12" s="11" t="s">
        <v>120</v>
      </c>
      <c r="I12" s="40" t="b">
        <v>1</v>
      </c>
      <c r="M12" t="s">
        <v>119</v>
      </c>
    </row>
    <row r="13" spans="1:13" ht="30" customHeight="1">
      <c r="A13" s="7" t="s">
        <v>69</v>
      </c>
      <c r="B13" s="1" t="s">
        <v>26</v>
      </c>
      <c r="C13" s="1" t="s">
        <v>27</v>
      </c>
      <c r="D13" s="10" t="s">
        <v>70</v>
      </c>
      <c r="E13" s="1"/>
      <c r="F13" s="1"/>
      <c r="G13" s="1"/>
      <c r="H13" s="11" t="s">
        <v>120</v>
      </c>
      <c r="I13" s="39" t="b">
        <v>0</v>
      </c>
      <c r="M13" t="s">
        <v>121</v>
      </c>
    </row>
    <row r="14" spans="1:13" ht="30" customHeight="1">
      <c r="A14" s="7"/>
      <c r="B14" s="1"/>
      <c r="C14" s="1" t="s">
        <v>9</v>
      </c>
      <c r="D14" s="10" t="s">
        <v>24</v>
      </c>
      <c r="E14" s="1"/>
      <c r="F14" s="1"/>
      <c r="G14" s="1"/>
      <c r="H14" s="11" t="s">
        <v>120</v>
      </c>
      <c r="I14" s="40" t="b">
        <v>1</v>
      </c>
      <c r="M14" t="s">
        <v>122</v>
      </c>
    </row>
    <row r="15" spans="1:13" ht="30" customHeight="1">
      <c r="A15" s="7"/>
      <c r="B15" s="1"/>
      <c r="C15" s="1" t="s">
        <v>11</v>
      </c>
      <c r="D15" s="10" t="s">
        <v>59</v>
      </c>
      <c r="E15" s="10" t="s">
        <v>71</v>
      </c>
      <c r="F15" s="10"/>
      <c r="G15" s="1"/>
      <c r="H15" s="11" t="s">
        <v>120</v>
      </c>
      <c r="I15" s="39" t="b">
        <v>0</v>
      </c>
    </row>
    <row r="16" spans="1:13" ht="30" customHeight="1">
      <c r="A16" s="7"/>
      <c r="B16" s="1"/>
      <c r="C16" s="1" t="s">
        <v>8</v>
      </c>
      <c r="D16" s="10" t="s">
        <v>24</v>
      </c>
      <c r="E16" s="1"/>
      <c r="F16" s="1"/>
      <c r="G16" s="1"/>
      <c r="H16" s="11" t="s">
        <v>120</v>
      </c>
      <c r="I16" s="40" t="b">
        <v>1</v>
      </c>
    </row>
    <row r="17" spans="1:9" ht="30" customHeight="1">
      <c r="A17" s="7"/>
      <c r="B17" s="1"/>
      <c r="C17" s="1" t="s">
        <v>10</v>
      </c>
      <c r="D17" s="10" t="s">
        <v>59</v>
      </c>
      <c r="E17" s="1"/>
      <c r="F17" s="1"/>
      <c r="G17" s="1"/>
      <c r="H17" s="11" t="s">
        <v>120</v>
      </c>
      <c r="I17" s="42" t="b">
        <v>0</v>
      </c>
    </row>
    <row r="18" spans="1:9" ht="30" customHeight="1">
      <c r="A18" s="7"/>
      <c r="B18" s="1"/>
      <c r="C18" s="1" t="s">
        <v>27</v>
      </c>
      <c r="D18" s="10" t="s">
        <v>72</v>
      </c>
      <c r="E18" s="1"/>
      <c r="F18" s="1"/>
      <c r="G18" s="1"/>
      <c r="H18" s="11" t="s">
        <v>120</v>
      </c>
      <c r="I18" s="42" t="b">
        <v>0</v>
      </c>
    </row>
    <row r="19" spans="1:9" ht="30" customHeight="1">
      <c r="A19" s="7"/>
      <c r="B19" s="1"/>
      <c r="C19" s="1" t="s">
        <v>8</v>
      </c>
      <c r="D19" s="10" t="s">
        <v>24</v>
      </c>
      <c r="E19" s="1"/>
      <c r="F19" s="1"/>
      <c r="G19" s="1"/>
      <c r="H19" s="11" t="s">
        <v>120</v>
      </c>
      <c r="I19" s="43" t="b">
        <v>1</v>
      </c>
    </row>
    <row r="20" spans="1:9" ht="30" customHeight="1">
      <c r="A20" s="7"/>
      <c r="B20" s="1"/>
      <c r="C20" s="1" t="s">
        <v>10</v>
      </c>
      <c r="D20" s="10" t="s">
        <v>75</v>
      </c>
      <c r="E20" s="1"/>
      <c r="F20" s="1"/>
      <c r="G20" s="1"/>
      <c r="H20" s="11" t="s">
        <v>120</v>
      </c>
      <c r="I20" s="42" t="b">
        <v>0</v>
      </c>
    </row>
    <row r="21" spans="1:9" ht="30" customHeight="1">
      <c r="A21" s="7"/>
      <c r="B21" s="1"/>
      <c r="C21" s="1" t="s">
        <v>8</v>
      </c>
      <c r="D21" s="10" t="s">
        <v>76</v>
      </c>
      <c r="E21" s="1"/>
      <c r="F21" s="1"/>
      <c r="G21" s="1"/>
      <c r="H21" s="11" t="s">
        <v>120</v>
      </c>
      <c r="I21" s="42" t="b">
        <v>0</v>
      </c>
    </row>
    <row r="22" spans="1:9" ht="30" customHeight="1">
      <c r="A22" s="7"/>
      <c r="B22" s="1"/>
      <c r="C22" s="1" t="s">
        <v>8</v>
      </c>
      <c r="D22" s="10" t="s">
        <v>77</v>
      </c>
      <c r="E22" s="1"/>
      <c r="F22" s="1"/>
      <c r="G22" s="1"/>
      <c r="H22" s="11" t="s">
        <v>120</v>
      </c>
      <c r="I22" s="43" t="b">
        <v>1</v>
      </c>
    </row>
    <row r="23" spans="1:9" ht="30" customHeight="1">
      <c r="A23" s="7"/>
      <c r="B23" s="1"/>
      <c r="C23" s="1" t="s">
        <v>27</v>
      </c>
      <c r="D23" s="10" t="s">
        <v>78</v>
      </c>
      <c r="E23" s="1"/>
      <c r="F23" s="1"/>
      <c r="G23" s="1"/>
      <c r="H23" s="11" t="s">
        <v>120</v>
      </c>
      <c r="I23" s="42" t="b">
        <v>0</v>
      </c>
    </row>
    <row r="24" spans="1:9" ht="30" customHeight="1">
      <c r="A24" s="7"/>
      <c r="B24" s="1"/>
      <c r="C24" s="1" t="s">
        <v>27</v>
      </c>
      <c r="D24" s="10" t="s">
        <v>79</v>
      </c>
      <c r="E24" s="1"/>
      <c r="F24" s="1"/>
      <c r="G24" s="1"/>
      <c r="H24" s="11" t="s">
        <v>120</v>
      </c>
      <c r="I24" s="42" t="b">
        <v>0</v>
      </c>
    </row>
    <row r="25" spans="1:9" ht="30" customHeight="1">
      <c r="A25" s="7"/>
      <c r="B25" s="1"/>
      <c r="C25" s="1" t="s">
        <v>27</v>
      </c>
      <c r="D25" s="10" t="s">
        <v>80</v>
      </c>
      <c r="E25" s="1"/>
      <c r="F25" s="1"/>
      <c r="G25" s="1"/>
      <c r="H25" s="11" t="s">
        <v>120</v>
      </c>
      <c r="I25" s="42" t="b">
        <v>0</v>
      </c>
    </row>
    <row r="26" spans="1:9" ht="30" customHeight="1">
      <c r="A26" s="7"/>
      <c r="B26" s="1"/>
      <c r="C26" s="1" t="s">
        <v>9</v>
      </c>
      <c r="D26" s="10" t="s">
        <v>24</v>
      </c>
      <c r="E26" s="1"/>
      <c r="F26" s="1"/>
      <c r="G26" s="1"/>
      <c r="H26" s="11" t="s">
        <v>120</v>
      </c>
      <c r="I26" s="43" t="b">
        <v>1</v>
      </c>
    </row>
    <row r="27" spans="1:9" ht="30" customHeight="1">
      <c r="A27" s="7"/>
      <c r="B27" s="1"/>
      <c r="C27" s="1" t="s">
        <v>8</v>
      </c>
      <c r="D27" s="26" t="s">
        <v>81</v>
      </c>
      <c r="E27" s="1"/>
      <c r="F27" s="1"/>
      <c r="G27" s="1"/>
      <c r="H27" s="11" t="s">
        <v>120</v>
      </c>
      <c r="I27" s="43" t="b">
        <v>1</v>
      </c>
    </row>
    <row r="28" spans="1:9" ht="30" customHeight="1">
      <c r="A28" s="7"/>
      <c r="B28" s="1"/>
      <c r="C28" s="1"/>
      <c r="D28" s="10"/>
      <c r="E28" s="1"/>
      <c r="F28" s="1"/>
      <c r="G28" s="1"/>
      <c r="I28" s="10"/>
    </row>
    <row r="29" spans="1:9" ht="30" customHeight="1">
      <c r="A29" s="7"/>
      <c r="B29" s="1"/>
      <c r="C29" s="1"/>
      <c r="D29" s="10"/>
      <c r="E29" s="1"/>
      <c r="F29" s="1"/>
      <c r="G29" s="1"/>
      <c r="I29" s="10"/>
    </row>
    <row r="30" spans="1:9" ht="30" customHeight="1">
      <c r="A30" s="7"/>
      <c r="B30" s="1"/>
      <c r="C30" s="1"/>
      <c r="D30" s="10"/>
      <c r="E30" s="1"/>
      <c r="F30" s="1"/>
      <c r="G30" s="1"/>
      <c r="I30" s="10"/>
    </row>
    <row r="31" spans="1:9" ht="30" customHeight="1">
      <c r="A31" s="7"/>
      <c r="B31" s="1"/>
      <c r="C31" s="1"/>
      <c r="D31" s="10"/>
      <c r="E31" s="1"/>
      <c r="F31" s="1"/>
      <c r="G31" s="1"/>
      <c r="I31" s="10"/>
    </row>
    <row r="32" spans="1:9" ht="30" customHeight="1">
      <c r="A32" s="7"/>
      <c r="B32" s="1"/>
      <c r="C32" s="1"/>
      <c r="D32" s="10"/>
      <c r="E32" s="1"/>
      <c r="F32" s="1"/>
      <c r="G32" s="1"/>
      <c r="I32" s="10"/>
    </row>
    <row r="33" spans="1:9" ht="30" customHeight="1">
      <c r="A33" s="7"/>
      <c r="B33" s="1"/>
      <c r="C33" s="1"/>
      <c r="D33" s="10"/>
      <c r="E33" s="1"/>
      <c r="F33" s="1"/>
      <c r="G33" s="1"/>
      <c r="I33" s="10"/>
    </row>
    <row r="34" spans="1:9" ht="30" customHeight="1">
      <c r="A34" s="4"/>
      <c r="I34" s="1"/>
    </row>
    <row r="35" spans="1:9" ht="30" customHeight="1">
      <c r="A35" s="4"/>
    </row>
    <row r="36" spans="1:9" ht="16.5">
      <c r="H36" s="2"/>
    </row>
  </sheetData>
  <mergeCells count="1">
    <mergeCell ref="A1:E6"/>
  </mergeCells>
  <phoneticPr fontId="1"/>
  <dataValidations count="3">
    <dataValidation type="list" allowBlank="1" showInputMessage="1" showErrorMessage="1" sqref="C8:C35">
      <formula1>INDIRECT($B8)</formula1>
    </dataValidation>
    <dataValidation type="list" allowBlank="1" showInputMessage="1" showErrorMessage="1" sqref="B8:B35">
      <formula1>"ホスト,Windowsレジストリーキーのチェック,ファイルやディレクトリ"</formula1>
    </dataValidation>
    <dataValidation type="list" allowBlank="1" showInputMessage="1" showErrorMessage="1" sqref="H8:H35">
      <formula1>$M$13:$M$14</formula1>
    </dataValidation>
  </dataValidations>
  <hyperlinks>
    <hyperlink ref="D27" r:id="rId1"/>
  </hyperlinks>
  <pageMargins left="0.7" right="0.7" top="0.75" bottom="0.75" header="0.3" footer="0.3"/>
  <pageSetup paperSize="9" scale="47" orientation="portrait" r:id="rId2"/>
  <headerFooter>
    <oddHeader>&amp;Cサーバー簡易稼働チェックリスト</oddHeader>
  </headerFooter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2"/>
  <sheetViews>
    <sheetView topLeftCell="A7" workbookViewId="0">
      <selection activeCell="A23" sqref="A23"/>
    </sheetView>
  </sheetViews>
  <sheetFormatPr defaultRowHeight="13.5"/>
  <cols>
    <col min="1" max="1" width="27.125" customWidth="1"/>
    <col min="2" max="2" width="42.875" customWidth="1"/>
    <col min="3" max="3" width="36.625" customWidth="1"/>
  </cols>
  <sheetData>
    <row r="1" spans="1:8" ht="47.25" customHeight="1">
      <c r="A1" s="6" t="s">
        <v>4</v>
      </c>
      <c r="B1" s="5"/>
      <c r="C1" s="5"/>
    </row>
    <row r="2" spans="1:8" ht="31.5" customHeight="1">
      <c r="A2" s="15" t="s">
        <v>3</v>
      </c>
      <c r="B2" s="15" t="s">
        <v>49</v>
      </c>
      <c r="C2" s="15" t="s">
        <v>7</v>
      </c>
    </row>
    <row r="3" spans="1:8" ht="14.25">
      <c r="A3" s="16" t="s">
        <v>8</v>
      </c>
      <c r="B3" s="16" t="s">
        <v>10</v>
      </c>
      <c r="C3" s="16" t="s">
        <v>14</v>
      </c>
    </row>
    <row r="4" spans="1:8" ht="14.25">
      <c r="A4" s="16" t="s">
        <v>9</v>
      </c>
      <c r="B4" s="16" t="s">
        <v>11</v>
      </c>
      <c r="C4" s="16" t="s">
        <v>15</v>
      </c>
    </row>
    <row r="5" spans="1:8" ht="14.25">
      <c r="A5" s="16"/>
      <c r="B5" s="16" t="s">
        <v>12</v>
      </c>
      <c r="C5" s="16" t="s">
        <v>16</v>
      </c>
    </row>
    <row r="6" spans="1:8" ht="14.25">
      <c r="A6" s="16"/>
      <c r="B6" s="16" t="s">
        <v>13</v>
      </c>
      <c r="C6" s="16" t="s">
        <v>17</v>
      </c>
    </row>
    <row r="7" spans="1:8" ht="14.25">
      <c r="A7" s="17"/>
      <c r="B7" s="17"/>
      <c r="C7" s="16" t="s">
        <v>18</v>
      </c>
    </row>
    <row r="8" spans="1:8" ht="14.25">
      <c r="A8" s="17"/>
      <c r="B8" s="17"/>
      <c r="C8" s="16" t="s">
        <v>19</v>
      </c>
      <c r="H8" s="24"/>
    </row>
    <row r="9" spans="1:8" ht="14.25">
      <c r="A9" s="17"/>
      <c r="B9" s="17"/>
      <c r="C9" s="16" t="s">
        <v>20</v>
      </c>
    </row>
    <row r="10" spans="1:8" ht="14.25">
      <c r="A10" s="17"/>
      <c r="B10" s="17"/>
      <c r="C10" s="16" t="s">
        <v>21</v>
      </c>
      <c r="G10" s="24"/>
    </row>
    <row r="11" spans="1:8" ht="14.25">
      <c r="A11" s="17"/>
      <c r="B11" s="17"/>
      <c r="C11" s="16" t="s">
        <v>22</v>
      </c>
    </row>
    <row r="12" spans="1:8" ht="15.75">
      <c r="C12" s="1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6"/>
  <sheetViews>
    <sheetView workbookViewId="0">
      <pane ySplit="1" topLeftCell="A2" activePane="bottomLeft" state="frozen"/>
      <selection pane="bottomLeft" activeCell="C10" sqref="C10"/>
    </sheetView>
  </sheetViews>
  <sheetFormatPr defaultRowHeight="13.5"/>
  <cols>
    <col min="1" max="1" width="11.25" customWidth="1"/>
    <col min="2" max="2" width="7.75" customWidth="1"/>
    <col min="3" max="3" width="31.625" customWidth="1"/>
    <col min="4" max="4" width="6" customWidth="1"/>
    <col min="5" max="5" width="40.375" customWidth="1"/>
  </cols>
  <sheetData>
    <row r="1" spans="1:7" ht="33.75" customHeight="1">
      <c r="A1" s="21" t="s">
        <v>48</v>
      </c>
      <c r="B1" s="21" t="s">
        <v>51</v>
      </c>
      <c r="C1" s="21" t="s">
        <v>50</v>
      </c>
      <c r="D1" s="22" t="s">
        <v>53</v>
      </c>
      <c r="E1" s="21" t="s">
        <v>52</v>
      </c>
    </row>
    <row r="2" spans="1:7" ht="49.5" customHeight="1">
      <c r="A2" s="45" t="str">
        <f>チェック項目リスト!A2</f>
        <v>ホスト</v>
      </c>
      <c r="B2" s="18" t="s">
        <v>34</v>
      </c>
      <c r="C2" s="19" t="str">
        <f>チェック項目リスト!A3</f>
        <v>H01_名前解決（URL）</v>
      </c>
      <c r="D2" s="20">
        <v>1</v>
      </c>
      <c r="E2" s="19" t="s">
        <v>55</v>
      </c>
    </row>
    <row r="3" spans="1:7" ht="36">
      <c r="A3" s="45"/>
      <c r="B3" s="18" t="s">
        <v>35</v>
      </c>
      <c r="C3" s="19" t="str">
        <f>チェック項目リスト!A4</f>
        <v>H02_疎通（URL)</v>
      </c>
      <c r="D3" s="20">
        <v>1</v>
      </c>
      <c r="E3" s="19" t="s">
        <v>56</v>
      </c>
    </row>
    <row r="4" spans="1:7" ht="48" customHeight="1">
      <c r="A4" s="46" t="str">
        <f>チェック項目リスト!B2</f>
        <v>Windowsレジストリーキー</v>
      </c>
      <c r="B4" s="18" t="s">
        <v>36</v>
      </c>
      <c r="C4" s="19" t="str">
        <f>名前解決</f>
        <v>R01_レジストリーキーが存在（レジストリキー）</v>
      </c>
      <c r="D4" s="20">
        <v>1</v>
      </c>
      <c r="E4" s="19" t="s">
        <v>57</v>
      </c>
    </row>
    <row r="5" spans="1:7" ht="44.25" customHeight="1">
      <c r="A5" s="46"/>
      <c r="B5" s="18" t="s">
        <v>37</v>
      </c>
      <c r="C5" s="19" t="str">
        <f>疎通</f>
        <v>R02_レジストリーキーが持つプロパティ（レジストリキー,プロパティ）</v>
      </c>
      <c r="D5" s="20">
        <v>2</v>
      </c>
      <c r="E5" s="19" t="s">
        <v>58</v>
      </c>
    </row>
    <row r="6" spans="1:7">
      <c r="A6" s="46"/>
      <c r="B6" s="18" t="s">
        <v>38</v>
      </c>
      <c r="C6" s="19" t="str">
        <f>チェック項目リスト!B5</f>
        <v>R03_レジストリーキーが持つ値</v>
      </c>
      <c r="D6" s="20"/>
      <c r="E6" s="18"/>
    </row>
    <row r="7" spans="1:7">
      <c r="A7" s="46"/>
      <c r="B7" s="18" t="s">
        <v>39</v>
      </c>
      <c r="C7" s="19" t="str">
        <f>チェック項目リスト!B6</f>
        <v>R04_レジストリーキーが持つ値とそのデータタイプ</v>
      </c>
      <c r="D7" s="20"/>
      <c r="E7" s="18"/>
    </row>
    <row r="8" spans="1:7" ht="51" customHeight="1">
      <c r="A8" s="45" t="str">
        <f>チェック項目リスト!C2</f>
        <v>ファイルやディレクトリ</v>
      </c>
      <c r="B8" s="18" t="s">
        <v>60</v>
      </c>
      <c r="C8" s="19" t="str">
        <f>チェック項目リスト!C3</f>
        <v>F01_ファイルがあること（ファイルフルパス）</v>
      </c>
      <c r="D8" s="20">
        <v>1</v>
      </c>
      <c r="E8" s="19" t="s">
        <v>61</v>
      </c>
    </row>
    <row r="9" spans="1:7">
      <c r="A9" s="45"/>
      <c r="B9" s="18" t="s">
        <v>40</v>
      </c>
      <c r="C9" s="19" t="str">
        <f>チェック項目リスト!C4</f>
        <v>F02_ディレクトリがあること</v>
      </c>
      <c r="D9" s="20"/>
      <c r="E9" s="18"/>
      <c r="G9" s="24"/>
    </row>
    <row r="10" spans="1:7">
      <c r="A10" s="45"/>
      <c r="B10" s="18" t="s">
        <v>41</v>
      </c>
      <c r="C10" s="19" t="str">
        <f>チェック項目リスト!C5</f>
        <v>F03_ソケットがあること</v>
      </c>
      <c r="D10" s="23"/>
      <c r="E10" s="18"/>
    </row>
    <row r="11" spans="1:7">
      <c r="A11" s="45"/>
      <c r="B11" s="18" t="s">
        <v>42</v>
      </c>
      <c r="C11" s="19" t="str">
        <f>チェック項目リスト!C6</f>
        <v>F04_ファイル内に文字列があること</v>
      </c>
      <c r="D11" s="20"/>
      <c r="E11" s="18"/>
    </row>
    <row r="12" spans="1:7">
      <c r="A12" s="45"/>
      <c r="B12" s="18" t="s">
        <v>43</v>
      </c>
      <c r="C12" s="19" t="str">
        <f>チェック項目リスト!C7</f>
        <v>F05_ファイルのオーナーユーザ</v>
      </c>
      <c r="D12" s="20"/>
      <c r="E12" s="18"/>
    </row>
    <row r="13" spans="1:7">
      <c r="A13" s="45"/>
      <c r="B13" s="18" t="s">
        <v>44</v>
      </c>
      <c r="C13" s="19" t="str">
        <f>チェック項目リスト!C8</f>
        <v>F06_ファイルのオーナーグループ</v>
      </c>
      <c r="D13" s="20"/>
      <c r="E13" s="18"/>
    </row>
    <row r="14" spans="1:7">
      <c r="A14" s="45"/>
      <c r="B14" s="18" t="s">
        <v>45</v>
      </c>
      <c r="C14" s="19" t="str">
        <f>チェック項目リスト!C9</f>
        <v>F07_ファイルが読み取り可能</v>
      </c>
      <c r="D14" s="20"/>
      <c r="E14" s="18"/>
    </row>
    <row r="15" spans="1:7">
      <c r="A15" s="45"/>
      <c r="B15" s="18" t="s">
        <v>46</v>
      </c>
      <c r="C15" s="19" t="str">
        <f>チェック項目リスト!C10</f>
        <v>F08_ファイルが書き込み可能</v>
      </c>
      <c r="D15" s="20"/>
      <c r="E15" s="18"/>
    </row>
    <row r="16" spans="1:7">
      <c r="A16" s="45"/>
      <c r="B16" s="18" t="s">
        <v>47</v>
      </c>
      <c r="C16" s="19" t="str">
        <f>チェック項目リスト!C11</f>
        <v>F09_ファイルが実行可能</v>
      </c>
      <c r="D16" s="20"/>
      <c r="E16" s="18"/>
    </row>
  </sheetData>
  <mergeCells count="3">
    <mergeCell ref="A2:A3"/>
    <mergeCell ref="A4:A7"/>
    <mergeCell ref="A8:A16"/>
  </mergeCells>
  <phoneticPr fontId="1"/>
  <pageMargins left="0.7" right="0.7" top="0.75" bottom="0.75" header="0.3" footer="0.3"/>
  <pageSetup paperSize="9" scale="68"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22"/>
  <sheetViews>
    <sheetView topLeftCell="A6" workbookViewId="0">
      <selection activeCell="B17" sqref="B17"/>
    </sheetView>
  </sheetViews>
  <sheetFormatPr defaultRowHeight="13.5"/>
  <cols>
    <col min="1" max="1" width="28.75" customWidth="1"/>
    <col min="2" max="2" width="13.5" customWidth="1"/>
    <col min="3" max="3" width="38.625" customWidth="1"/>
    <col min="4" max="4" width="40.375" customWidth="1"/>
  </cols>
  <sheetData>
    <row r="1" spans="1:9" ht="25.5" customHeight="1">
      <c r="A1" s="36" t="s">
        <v>110</v>
      </c>
      <c r="B1" s="36" t="s">
        <v>111</v>
      </c>
      <c r="C1" s="36" t="s">
        <v>50</v>
      </c>
      <c r="D1" s="37" t="s">
        <v>116</v>
      </c>
    </row>
    <row r="2" spans="1:9" s="33" customFormat="1" ht="14.25">
      <c r="A2" s="34" t="s">
        <v>83</v>
      </c>
      <c r="B2" s="34">
        <v>0</v>
      </c>
      <c r="C2" s="34" t="s">
        <v>95</v>
      </c>
    </row>
    <row r="3" spans="1:9" s="33" customFormat="1" ht="14.25">
      <c r="A3" s="34" t="s">
        <v>84</v>
      </c>
      <c r="B3" s="34">
        <v>1</v>
      </c>
      <c r="C3" s="34" t="s">
        <v>96</v>
      </c>
    </row>
    <row r="4" spans="1:9" s="33" customFormat="1" ht="14.25">
      <c r="A4" s="34" t="s">
        <v>85</v>
      </c>
      <c r="B4" s="34">
        <v>2</v>
      </c>
      <c r="C4" s="34" t="s">
        <v>97</v>
      </c>
    </row>
    <row r="5" spans="1:9" s="33" customFormat="1" ht="14.25">
      <c r="A5" s="34" t="s">
        <v>82</v>
      </c>
      <c r="B5" s="34">
        <v>3</v>
      </c>
      <c r="C5" s="34" t="s">
        <v>98</v>
      </c>
    </row>
    <row r="6" spans="1:9" s="33" customFormat="1" ht="14.25">
      <c r="A6" s="34" t="s">
        <v>86</v>
      </c>
      <c r="B6" s="34">
        <v>4</v>
      </c>
      <c r="C6" s="34" t="s">
        <v>99</v>
      </c>
    </row>
    <row r="7" spans="1:9" s="33" customFormat="1" ht="14.25">
      <c r="A7" s="34" t="s">
        <v>87</v>
      </c>
      <c r="B7" s="34">
        <v>5</v>
      </c>
      <c r="C7" s="34" t="s">
        <v>100</v>
      </c>
    </row>
    <row r="8" spans="1:9" s="33" customFormat="1" ht="14.25">
      <c r="A8" s="34" t="s">
        <v>88</v>
      </c>
      <c r="B8" s="34">
        <v>6</v>
      </c>
      <c r="C8" s="34" t="s">
        <v>101</v>
      </c>
      <c r="I8" s="38"/>
    </row>
    <row r="9" spans="1:9" s="33" customFormat="1" ht="14.25">
      <c r="A9" s="34" t="s">
        <v>89</v>
      </c>
      <c r="B9" s="34">
        <v>7</v>
      </c>
      <c r="C9" s="34" t="s">
        <v>102</v>
      </c>
      <c r="I9" s="38"/>
    </row>
    <row r="10" spans="1:9" s="33" customFormat="1" ht="14.25">
      <c r="A10" s="34" t="s">
        <v>90</v>
      </c>
      <c r="B10" s="34">
        <v>2</v>
      </c>
      <c r="C10" s="34" t="s">
        <v>103</v>
      </c>
      <c r="I10" s="38"/>
    </row>
    <row r="11" spans="1:9" s="33" customFormat="1" ht="14.25">
      <c r="A11" s="34" t="s">
        <v>91</v>
      </c>
      <c r="B11" s="34">
        <v>9</v>
      </c>
      <c r="C11" s="34" t="s">
        <v>104</v>
      </c>
      <c r="I11" s="38"/>
    </row>
    <row r="12" spans="1:9" s="33" customFormat="1" ht="14.25">
      <c r="A12" s="34" t="s">
        <v>92</v>
      </c>
      <c r="B12" s="34">
        <v>8</v>
      </c>
      <c r="C12" s="35" t="s">
        <v>105</v>
      </c>
      <c r="I12" s="38"/>
    </row>
    <row r="13" spans="1:9" s="33" customFormat="1" ht="14.25">
      <c r="A13" s="34" t="s">
        <v>93</v>
      </c>
      <c r="B13" s="34">
        <v>2</v>
      </c>
      <c r="C13" s="34" t="s">
        <v>106</v>
      </c>
      <c r="I13" s="38"/>
    </row>
    <row r="14" spans="1:9" s="33" customFormat="1" ht="14.25">
      <c r="A14" s="34" t="s">
        <v>113</v>
      </c>
      <c r="B14" s="34">
        <v>3</v>
      </c>
      <c r="C14" s="34" t="s">
        <v>107</v>
      </c>
      <c r="I14" s="38"/>
    </row>
    <row r="15" spans="1:9" s="33" customFormat="1" ht="28.5">
      <c r="A15" s="34" t="s">
        <v>112</v>
      </c>
      <c r="B15" s="34" t="s">
        <v>117</v>
      </c>
      <c r="C15" s="34" t="s">
        <v>108</v>
      </c>
      <c r="I15" s="38"/>
    </row>
    <row r="16" spans="1:9" s="33" customFormat="1" ht="42.75">
      <c r="A16" s="34" t="s">
        <v>115</v>
      </c>
      <c r="B16" s="34" t="s">
        <v>123</v>
      </c>
      <c r="C16" s="34" t="s">
        <v>109</v>
      </c>
      <c r="I16" s="38"/>
    </row>
    <row r="17" spans="1:9" s="33" customFormat="1" ht="14.25">
      <c r="A17" s="34" t="s">
        <v>94</v>
      </c>
      <c r="B17" s="34" t="b">
        <v>0</v>
      </c>
      <c r="C17" s="34" t="s">
        <v>114</v>
      </c>
      <c r="I17" s="38"/>
    </row>
    <row r="20" spans="1:9" ht="14.25">
      <c r="A20" s="41"/>
    </row>
    <row r="21" spans="1:9" ht="14.25">
      <c r="A21" s="41"/>
    </row>
    <row r="22" spans="1:9" ht="14.25">
      <c r="A22" s="4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ServerSpec4Excel</vt:lpstr>
      <vt:lpstr>チェック項目リスト</vt:lpstr>
      <vt:lpstr>_spec.rb</vt:lpstr>
      <vt:lpstr>Settings</vt:lpstr>
      <vt:lpstr>ServerSpec4Excel!Print_Area</vt:lpstr>
      <vt:lpstr>Windowsレジストリーキーのチェック</vt:lpstr>
      <vt:lpstr>テスト対象</vt:lpstr>
      <vt:lpstr>ファイルやディレクトリ</vt:lpstr>
      <vt:lpstr>ホスト</vt:lpstr>
      <vt:lpstr>疎通</vt:lpstr>
      <vt:lpstr>名前解決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kawada</dc:creator>
  <cp:lastModifiedBy>ERINGI</cp:lastModifiedBy>
  <cp:lastPrinted>2015-05-02T14:42:00Z</cp:lastPrinted>
  <dcterms:created xsi:type="dcterms:W3CDTF">2015-04-04T11:18:14Z</dcterms:created>
  <dcterms:modified xsi:type="dcterms:W3CDTF">2015-05-05T15:36:39Z</dcterms:modified>
</cp:coreProperties>
</file>